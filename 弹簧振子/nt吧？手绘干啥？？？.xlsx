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Equationzhao\Desktop\物理实验\弹簧振子\"/>
    </mc:Choice>
  </mc:AlternateContent>
  <xr:revisionPtr revIDLastSave="0" documentId="13_ncr:1_{F7E3D04F-8CEB-48DF-AB92-4286582A45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1" l="1"/>
  <c r="C55" i="1"/>
  <c r="D55" i="1"/>
  <c r="E55" i="1"/>
  <c r="F55" i="1"/>
  <c r="A55" i="1"/>
  <c r="B53" i="1"/>
  <c r="C53" i="1"/>
  <c r="D53" i="1"/>
  <c r="E53" i="1"/>
  <c r="F53" i="1"/>
  <c r="A53" i="1"/>
  <c r="B54" i="1"/>
  <c r="C54" i="1"/>
  <c r="D54" i="1"/>
  <c r="E54" i="1"/>
  <c r="F54" i="1"/>
  <c r="A54" i="1"/>
  <c r="C40" i="1"/>
  <c r="J40" i="1" s="1"/>
  <c r="C39" i="1"/>
  <c r="C38" i="1"/>
  <c r="J38" i="1" s="1"/>
  <c r="E47" i="1"/>
  <c r="F47" i="1"/>
  <c r="I45" i="1"/>
  <c r="J39" i="1"/>
</calcChain>
</file>

<file path=xl/sharedStrings.xml><?xml version="1.0" encoding="utf-8"?>
<sst xmlns="http://schemas.openxmlformats.org/spreadsheetml/2006/main" count="6" uniqueCount="2">
  <si>
    <t>t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</si>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</sst>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0" i="0" u="none" strike="noStrike" cap="all" normalizeH="0" baseline="0">
                <a:effectLst/>
              </a:rPr>
              <a:t>弹簧指针位置随砝码质量变化曲线图</a:t>
            </a:r>
            <a:endParaRPr lang="zh-CN" altLang="en-US"/>
          </a:p>
        </c:rich>
      </c:tx>
      <c:layout>
        <c:manualLayout>
          <c:xMode val="edge"/>
          <c:yMode val="edge"/>
          <c:x val="0.3554485565844748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5058344462546658E-2"/>
          <c:y val="2.6385265277766495E-2"/>
          <c:w val="0.90175664182117743"/>
          <c:h val="0.94627386402939961"/>
        </c:manualLayout>
      </c:layout>
      <c:scatterChart>
        <c:scatterStyle val="smoothMarker"/>
        <c:varyColors val="0"/>
        <c:ser>
          <c:idx val="0"/>
          <c:order val="0"/>
          <c:tx>
            <c:v>1#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>
                    <a:alpha val="98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Sheet1!$A$1:$E$1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Sheet1!$A$2:$E$2</c:f>
              <c:numCache>
                <c:formatCode>General</c:formatCode>
                <c:ptCount val="5"/>
                <c:pt idx="0">
                  <c:v>29.5</c:v>
                </c:pt>
                <c:pt idx="1">
                  <c:v>33</c:v>
                </c:pt>
                <c:pt idx="2">
                  <c:v>36.549999999999997</c:v>
                </c:pt>
                <c:pt idx="3">
                  <c:v>40.6</c:v>
                </c:pt>
                <c:pt idx="4">
                  <c:v>44.23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AC-4179-AAC5-A3B564E012ED}"/>
            </c:ext>
          </c:extLst>
        </c:ser>
        <c:ser>
          <c:idx val="1"/>
          <c:order val="1"/>
          <c:tx>
            <c:v>2#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Sheet1!$A$1:$E$1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Sheet1!$A$5:$E$5</c:f>
              <c:numCache>
                <c:formatCode>General</c:formatCode>
                <c:ptCount val="5"/>
                <c:pt idx="0">
                  <c:v>24.8</c:v>
                </c:pt>
                <c:pt idx="1">
                  <c:v>26.2</c:v>
                </c:pt>
                <c:pt idx="2">
                  <c:v>28.78</c:v>
                </c:pt>
                <c:pt idx="3">
                  <c:v>31.43</c:v>
                </c:pt>
                <c:pt idx="4">
                  <c:v>34.49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AC-4179-AAC5-A3B564E012ED}"/>
            </c:ext>
          </c:extLst>
        </c:ser>
        <c:ser>
          <c:idx val="2"/>
          <c:order val="2"/>
          <c:tx>
            <c:v>3#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Sheet1!$A$1:$E$1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Sheet1!$A$8:$E$8</c:f>
              <c:numCache>
                <c:formatCode>General</c:formatCode>
                <c:ptCount val="5"/>
                <c:pt idx="0">
                  <c:v>25.3</c:v>
                </c:pt>
                <c:pt idx="1">
                  <c:v>27.2</c:v>
                </c:pt>
                <c:pt idx="2">
                  <c:v>29.6</c:v>
                </c:pt>
                <c:pt idx="3">
                  <c:v>33.1</c:v>
                </c:pt>
                <c:pt idx="4">
                  <c:v>35.6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AC-4179-AAC5-A3B564E012ED}"/>
            </c:ext>
          </c:extLst>
        </c:ser>
        <c:ser>
          <c:idx val="3"/>
          <c:order val="3"/>
          <c:tx>
            <c:v>4#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Sheet1!$A$10:$E$10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Sheet1!$A$11:$E$11</c:f>
              <c:numCache>
                <c:formatCode>General</c:formatCode>
                <c:ptCount val="5"/>
                <c:pt idx="0">
                  <c:v>19.100000000000001</c:v>
                </c:pt>
                <c:pt idx="1">
                  <c:v>19.600000000000001</c:v>
                </c:pt>
                <c:pt idx="2">
                  <c:v>20.6</c:v>
                </c:pt>
                <c:pt idx="3">
                  <c:v>21.4</c:v>
                </c:pt>
                <c:pt idx="4">
                  <c:v>22.1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AC-4179-AAC5-A3B564E012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46087376"/>
        <c:axId val="1046087792"/>
      </c:scatterChart>
      <c:valAx>
        <c:axId val="104608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砝码质量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087792"/>
        <c:crosses val="autoZero"/>
        <c:crossBetween val="midCat"/>
      </c:valAx>
      <c:valAx>
        <c:axId val="10460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指针位置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08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Sheet1!$D$44:$I$44</c:f>
              <c:numCache>
                <c:formatCode>General</c:formatCode>
                <c:ptCount val="6"/>
                <c:pt idx="0">
                  <c:v>3.5</c:v>
                </c:pt>
                <c:pt idx="1">
                  <c:v>3.9</c:v>
                </c:pt>
                <c:pt idx="2">
                  <c:v>4</c:v>
                </c:pt>
                <c:pt idx="3">
                  <c:v>4.0999999999999996</c:v>
                </c:pt>
                <c:pt idx="4">
                  <c:v>4.3</c:v>
                </c:pt>
                <c:pt idx="5">
                  <c:v>4.5</c:v>
                </c:pt>
              </c:numCache>
            </c:numRef>
          </c:xVal>
          <c:yVal>
            <c:numRef>
              <c:f>Sheet1!$A$53:$F$53</c:f>
              <c:numCache>
                <c:formatCode>General</c:formatCode>
                <c:ptCount val="6"/>
                <c:pt idx="0">
                  <c:v>70.392648763915673</c:v>
                </c:pt>
                <c:pt idx="1">
                  <c:v>78.437522908363178</c:v>
                </c:pt>
                <c:pt idx="2">
                  <c:v>80.448741444475061</c:v>
                </c:pt>
                <c:pt idx="3">
                  <c:v>82.45995998058693</c:v>
                </c:pt>
                <c:pt idx="4">
                  <c:v>86.482397052810683</c:v>
                </c:pt>
                <c:pt idx="5">
                  <c:v>90.504834125034449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5F-4C92-A979-3ADB390B0C8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Sheet1!$D$46:$J$46</c:f>
              <c:numCache>
                <c:formatCode>General</c:formatCode>
                <c:ptCount val="7"/>
                <c:pt idx="0">
                  <c:v>1.0900000000000001</c:v>
                </c:pt>
                <c:pt idx="1">
                  <c:v>1.42</c:v>
                </c:pt>
                <c:pt idx="2">
                  <c:v>1.48</c:v>
                </c:pt>
                <c:pt idx="3">
                  <c:v>1.6</c:v>
                </c:pt>
                <c:pt idx="4">
                  <c:v>1.8</c:v>
                </c:pt>
                <c:pt idx="5">
                  <c:v>1.85</c:v>
                </c:pt>
                <c:pt idx="6">
                  <c:v>2.2000000000000002</c:v>
                </c:pt>
              </c:numCache>
            </c:numRef>
          </c:xVal>
          <c:yVal>
            <c:numRef>
              <c:f>Sheet1!$A$54:$F$54</c:f>
              <c:numCache>
                <c:formatCode>General</c:formatCode>
                <c:ptCount val="6"/>
                <c:pt idx="0">
                  <c:v>17.777362009027097</c:v>
                </c:pt>
                <c:pt idx="1">
                  <c:v>23.159499131026127</c:v>
                </c:pt>
                <c:pt idx="2">
                  <c:v>24.138069516844133</c:v>
                </c:pt>
                <c:pt idx="3">
                  <c:v>26.095210288480146</c:v>
                </c:pt>
                <c:pt idx="4">
                  <c:v>29.357111574540163</c:v>
                </c:pt>
                <c:pt idx="5">
                  <c:v>30.172586896055169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5F-4C92-A979-3ADB390B0C8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Sheet1!$D$48:$J$48</c:f>
              <c:numCache>
                <c:formatCode>General</c:formatCode>
                <c:ptCount val="7"/>
                <c:pt idx="0">
                  <c:v>1.97</c:v>
                </c:pt>
                <c:pt idx="1">
                  <c:v>2.1360000000000001</c:v>
                </c:pt>
                <c:pt idx="2">
                  <c:v>2.2120000000000002</c:v>
                </c:pt>
                <c:pt idx="3">
                  <c:v>2.2200000000000002</c:v>
                </c:pt>
                <c:pt idx="4">
                  <c:v>2.2999999999999998</c:v>
                </c:pt>
                <c:pt idx="5">
                  <c:v>2.3140000000000001</c:v>
                </c:pt>
                <c:pt idx="6">
                  <c:v>2.46</c:v>
                </c:pt>
              </c:numCache>
            </c:numRef>
          </c:xVal>
          <c:yVal>
            <c:numRef>
              <c:f>Sheet1!$A$55:$F$55</c:f>
              <c:numCache>
                <c:formatCode>General</c:formatCode>
                <c:ptCount val="6"/>
                <c:pt idx="0">
                  <c:v>38.427626130168385</c:v>
                </c:pt>
                <c:pt idx="1">
                  <c:v>41.665690057888156</c:v>
                </c:pt>
                <c:pt idx="2">
                  <c:v>43.148177157326131</c:v>
                </c:pt>
                <c:pt idx="3">
                  <c:v>43.304228430951177</c:v>
                </c:pt>
                <c:pt idx="4">
                  <c:v>44.864741167201664</c:v>
                </c:pt>
                <c:pt idx="5">
                  <c:v>45.137830896045507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5F-4C92-A979-3ADB390B0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186512"/>
        <c:axId val="637186096"/>
      </c:scatterChart>
      <c:valAx>
        <c:axId val="63718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7186096"/>
        <c:crosses val="autoZero"/>
        <c:crossBetween val="midCat"/>
      </c:valAx>
      <c:valAx>
        <c:axId val="63718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7186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257736</xdr:colOff>
      <xdr:row>11</xdr:row>
      <xdr:rowOff>134471</xdr:rowOff>
    </xdr:from>
    <xdr:to>
      <xdr:col>36</xdr:col>
      <xdr:colOff>100853</xdr:colOff>
      <xdr:row>63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E3A93C4-CBC6-4EA9-92C8-5C815EA5C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336178</xdr:colOff>
      <xdr:row>32</xdr:row>
      <xdr:rowOff>100852</xdr:rowOff>
    </xdr:from>
    <xdr:to>
      <xdr:col>22</xdr:col>
      <xdr:colOff>465045</xdr:colOff>
      <xdr:row>65</xdr:row>
      <xdr:rowOff>88525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DC0D6121-2910-4D4B-BD8C-2020B3825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22" zoomScale="85" zoomScaleNormal="85" workbookViewId="0">
      <selection activeCell="J34" sqref="J34"/>
    </sheetView>
  </sheetViews>
  <sheetFormatPr defaultRowHeight="14.25" x14ac:dyDescent="0.2"/>
  <cols>
    <col min="3" max="3" width="12.75" bestFit="1" customWidth="1"/>
    <col min="5" max="5" width="9.25" bestFit="1" customWidth="1"/>
    <col min="10" max="10" width="12.75" bestFit="1" customWidth="1"/>
  </cols>
  <sheetData>
    <row r="1" spans="1:5" x14ac:dyDescent="0.2">
      <c r="A1">
        <v>20</v>
      </c>
      <c r="B1">
        <v>40</v>
      </c>
      <c r="C1">
        <v>60</v>
      </c>
      <c r="D1">
        <v>80</v>
      </c>
      <c r="E1">
        <v>100</v>
      </c>
    </row>
    <row r="2" spans="1:5" x14ac:dyDescent="0.2">
      <c r="A2">
        <v>29.5</v>
      </c>
      <c r="B2">
        <v>33</v>
      </c>
      <c r="C2">
        <v>36.549999999999997</v>
      </c>
      <c r="D2">
        <v>40.6</v>
      </c>
      <c r="E2">
        <v>44.23</v>
      </c>
    </row>
    <row r="4" spans="1:5" x14ac:dyDescent="0.2">
      <c r="A4">
        <v>20</v>
      </c>
      <c r="B4">
        <v>40</v>
      </c>
      <c r="C4">
        <v>60</v>
      </c>
      <c r="D4">
        <v>80</v>
      </c>
      <c r="E4">
        <v>100</v>
      </c>
    </row>
    <row r="5" spans="1:5" x14ac:dyDescent="0.2">
      <c r="A5">
        <v>24.8</v>
      </c>
      <c r="B5">
        <v>26.2</v>
      </c>
      <c r="C5">
        <v>28.78</v>
      </c>
      <c r="D5">
        <v>31.43</v>
      </c>
      <c r="E5">
        <v>34.49</v>
      </c>
    </row>
    <row r="7" spans="1:5" x14ac:dyDescent="0.2">
      <c r="A7">
        <v>20</v>
      </c>
      <c r="B7">
        <v>40</v>
      </c>
      <c r="C7">
        <v>60</v>
      </c>
      <c r="D7">
        <v>80</v>
      </c>
      <c r="E7">
        <v>100</v>
      </c>
    </row>
    <row r="8" spans="1:5" x14ac:dyDescent="0.2">
      <c r="A8">
        <v>25.3</v>
      </c>
      <c r="B8">
        <v>27.2</v>
      </c>
      <c r="C8">
        <v>29.6</v>
      </c>
      <c r="D8">
        <v>33.1</v>
      </c>
      <c r="E8">
        <v>35.6</v>
      </c>
    </row>
    <row r="10" spans="1:5" x14ac:dyDescent="0.2">
      <c r="A10">
        <v>20</v>
      </c>
      <c r="B10">
        <v>40</v>
      </c>
      <c r="C10">
        <v>60</v>
      </c>
      <c r="D10">
        <v>80</v>
      </c>
      <c r="E10">
        <v>100</v>
      </c>
    </row>
    <row r="11" spans="1:5" x14ac:dyDescent="0.2">
      <c r="A11">
        <v>19.100000000000001</v>
      </c>
      <c r="B11">
        <v>19.600000000000001</v>
      </c>
      <c r="C11">
        <v>20.6</v>
      </c>
      <c r="D11">
        <v>21.4</v>
      </c>
      <c r="E11">
        <v>22.1</v>
      </c>
    </row>
    <row r="36" spans="1:10" x14ac:dyDescent="0.2">
      <c r="A36">
        <v>1</v>
      </c>
      <c r="B36">
        <v>2</v>
      </c>
      <c r="C36">
        <v>3</v>
      </c>
      <c r="D36">
        <v>4</v>
      </c>
      <c r="E36">
        <v>5</v>
      </c>
    </row>
    <row r="37" spans="1:10" x14ac:dyDescent="0.2">
      <c r="A37">
        <v>1</v>
      </c>
      <c r="B37">
        <v>1</v>
      </c>
      <c r="C37">
        <v>3.6</v>
      </c>
    </row>
    <row r="38" spans="1:10" x14ac:dyDescent="0.2">
      <c r="A38">
        <v>27.6</v>
      </c>
      <c r="B38">
        <v>40</v>
      </c>
      <c r="C38">
        <f>(B38-A38)/200</f>
        <v>6.1999999999999993E-2</v>
      </c>
      <c r="G38">
        <v>8.09</v>
      </c>
      <c r="J38">
        <f>C38*COS(SQRT(G38/0.002))</f>
        <v>4.4576815681880218E-2</v>
      </c>
    </row>
    <row r="39" spans="1:10" x14ac:dyDescent="0.2">
      <c r="A39">
        <v>32</v>
      </c>
      <c r="B39">
        <v>55</v>
      </c>
      <c r="C39">
        <f>(B39-A39)/200</f>
        <v>0.115</v>
      </c>
      <c r="G39">
        <v>5.32</v>
      </c>
      <c r="J39">
        <f t="shared" ref="J39:J40" si="0">C39*COS(SQRT(G39/0.002))</f>
        <v>2.9685488558911441E-2</v>
      </c>
    </row>
    <row r="40" spans="1:10" x14ac:dyDescent="0.2">
      <c r="A40">
        <v>32.5</v>
      </c>
      <c r="B40">
        <v>37.5</v>
      </c>
      <c r="C40">
        <f>(B40-A40)/200</f>
        <v>2.5000000000000001E-2</v>
      </c>
      <c r="G40">
        <v>7.61</v>
      </c>
      <c r="J40">
        <f t="shared" si="0"/>
        <v>1.0276699875794708E-2</v>
      </c>
    </row>
    <row r="43" spans="1:10" x14ac:dyDescent="0.2">
      <c r="C43" t="s">
        <v>1</v>
      </c>
      <c r="D43">
        <v>6.2</v>
      </c>
      <c r="E43">
        <v>3.6</v>
      </c>
      <c r="F43">
        <v>2.5</v>
      </c>
      <c r="G43">
        <v>0</v>
      </c>
      <c r="H43">
        <v>-3.6</v>
      </c>
      <c r="I43">
        <v>-6.2</v>
      </c>
    </row>
    <row r="44" spans="1:10" x14ac:dyDescent="0.2">
      <c r="C44" t="s">
        <v>0</v>
      </c>
      <c r="D44">
        <v>3.5</v>
      </c>
      <c r="E44">
        <v>3.9</v>
      </c>
      <c r="F44">
        <v>4</v>
      </c>
      <c r="G44">
        <v>4.0999999999999996</v>
      </c>
      <c r="H44">
        <v>4.3</v>
      </c>
      <c r="I44">
        <v>4.5</v>
      </c>
    </row>
    <row r="45" spans="1:10" x14ac:dyDescent="0.2">
      <c r="C45" t="s">
        <v>1</v>
      </c>
      <c r="D45">
        <v>-11.5</v>
      </c>
      <c r="E45">
        <v>-6.64</v>
      </c>
      <c r="F45" s="1">
        <v>-5</v>
      </c>
      <c r="G45">
        <v>0</v>
      </c>
      <c r="H45">
        <v>5</v>
      </c>
      <c r="I45">
        <f>11.5/SQRT(3)</f>
        <v>6.6395280956806966</v>
      </c>
      <c r="J45">
        <v>11.5</v>
      </c>
    </row>
    <row r="46" spans="1:10" x14ac:dyDescent="0.2">
      <c r="C46" t="s">
        <v>0</v>
      </c>
      <c r="D46">
        <v>1.0900000000000001</v>
      </c>
      <c r="E46">
        <v>1.42</v>
      </c>
      <c r="F46">
        <v>1.48</v>
      </c>
      <c r="G46">
        <v>1.6</v>
      </c>
      <c r="H46">
        <v>1.8</v>
      </c>
      <c r="I46">
        <v>1.85</v>
      </c>
      <c r="J46">
        <v>2.2000000000000002</v>
      </c>
    </row>
    <row r="47" spans="1:10" x14ac:dyDescent="0.2">
      <c r="C47" t="s">
        <v>1</v>
      </c>
      <c r="D47">
        <v>2.5</v>
      </c>
      <c r="E47">
        <f>2.5/2</f>
        <v>1.25</v>
      </c>
      <c r="F47">
        <f>2.5/SQRT(3)</f>
        <v>1.4433756729740645</v>
      </c>
      <c r="G47">
        <v>0</v>
      </c>
      <c r="H47">
        <v>-1.25</v>
      </c>
      <c r="I47">
        <v>-1.4430000000000001</v>
      </c>
      <c r="J47">
        <v>-2.5</v>
      </c>
    </row>
    <row r="48" spans="1:10" x14ac:dyDescent="0.2">
      <c r="C48" t="s">
        <v>0</v>
      </c>
      <c r="D48">
        <v>1.97</v>
      </c>
      <c r="E48">
        <v>2.1360000000000001</v>
      </c>
      <c r="F48">
        <v>2.2120000000000002</v>
      </c>
      <c r="G48">
        <v>2.2200000000000002</v>
      </c>
      <c r="H48">
        <v>2.2999999999999998</v>
      </c>
      <c r="I48">
        <v>2.3140000000000001</v>
      </c>
      <c r="J48">
        <v>2.46</v>
      </c>
    </row>
    <row r="53" spans="1:6" x14ac:dyDescent="0.2">
      <c r="A53">
        <f>SQRT(8.09/0.02)*D44</f>
        <v>70.392648763915673</v>
      </c>
      <c r="B53">
        <f t="shared" ref="B53:F53" si="1">SQRT(8.09/0.02)*E44</f>
        <v>78.437522908363178</v>
      </c>
      <c r="C53">
        <f t="shared" si="1"/>
        <v>80.448741444475061</v>
      </c>
      <c r="D53">
        <f t="shared" si="1"/>
        <v>82.45995998058693</v>
      </c>
      <c r="E53">
        <f t="shared" si="1"/>
        <v>86.482397052810683</v>
      </c>
      <c r="F53">
        <f t="shared" si="1"/>
        <v>90.504834125034449</v>
      </c>
    </row>
    <row r="54" spans="1:6" x14ac:dyDescent="0.2">
      <c r="A54">
        <f>SQRT(5.32/0.02)*D46</f>
        <v>17.777362009027097</v>
      </c>
      <c r="B54">
        <f t="shared" ref="B54:F54" si="2">SQRT(5.32/0.02)*E46</f>
        <v>23.159499131026127</v>
      </c>
      <c r="C54">
        <f t="shared" si="2"/>
        <v>24.138069516844133</v>
      </c>
      <c r="D54">
        <f t="shared" si="2"/>
        <v>26.095210288480146</v>
      </c>
      <c r="E54">
        <f t="shared" si="2"/>
        <v>29.357111574540163</v>
      </c>
      <c r="F54">
        <f t="shared" si="2"/>
        <v>30.172586896055169</v>
      </c>
    </row>
    <row r="55" spans="1:6" x14ac:dyDescent="0.2">
      <c r="A55">
        <f>SQRT(7.61/0.02)*D48</f>
        <v>38.427626130168385</v>
      </c>
      <c r="B55">
        <f t="shared" ref="B55:F55" si="3">SQRT(7.61/0.02)*E48</f>
        <v>41.665690057888156</v>
      </c>
      <c r="C55">
        <f t="shared" si="3"/>
        <v>43.148177157326131</v>
      </c>
      <c r="D55">
        <f t="shared" si="3"/>
        <v>43.304228430951177</v>
      </c>
      <c r="E55">
        <f t="shared" si="3"/>
        <v>44.864741167201664</v>
      </c>
      <c r="F55">
        <f t="shared" si="3"/>
        <v>45.137830896045507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fancheng zhao</dc:creator>
  <cp:lastModifiedBy>fancheng zhao</cp:lastModifiedBy>
  <dcterms:created xsi:type="dcterms:W3CDTF">2015-06-05T18:19:34Z</dcterms:created>
  <dcterms:modified xsi:type="dcterms:W3CDTF">2021-12-21T15:05:52Z</dcterms:modified>
</cp:coreProperties>
</file>